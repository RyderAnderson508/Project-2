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894e9a6ebd02b051/Documents/CIVE 202/Project ^N2/"/>
    </mc:Choice>
  </mc:AlternateContent>
  <xr:revisionPtr revIDLastSave="36" documentId="8_{02B99997-678A-4AFF-A0B2-88AE501B0E28}" xr6:coauthVersionLast="47" xr6:coauthVersionMax="47" xr10:uidLastSave="{20744FA5-BC98-40D7-BC08-580AA2F2D85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1" l="1"/>
  <c r="H44" i="11"/>
  <c r="H38" i="11"/>
  <c r="H32" i="11"/>
  <c r="H7" i="11"/>
  <c r="H26" i="11" l="1"/>
  <c r="H21" i="11"/>
  <c r="H14" i="11"/>
  <c r="H8" i="11"/>
  <c r="H33" i="11" l="1"/>
  <c r="H22" i="11"/>
  <c r="H23" i="11"/>
  <c r="H9" i="11"/>
  <c r="I6" i="11"/>
  <c r="H34" i="11" l="1"/>
  <c r="H45" i="11"/>
  <c r="H31" i="11"/>
  <c r="H30" i="11"/>
  <c r="H27" i="11"/>
  <c r="H10" i="11"/>
  <c r="H24" i="11"/>
  <c r="H15" i="11"/>
  <c r="J5" i="11"/>
  <c r="K5" i="11" s="1"/>
  <c r="L5" i="11" s="1"/>
  <c r="M5" i="11" s="1"/>
  <c r="N5" i="11" s="1"/>
  <c r="O5" i="11" s="1"/>
  <c r="P5" i="11" s="1"/>
  <c r="I4" i="11"/>
  <c r="H46" i="11" l="1"/>
  <c r="H37" i="11"/>
  <c r="H28" i="11"/>
  <c r="H29" i="11"/>
  <c r="H25" i="11"/>
  <c r="H16" i="11"/>
  <c r="H13" i="11"/>
  <c r="P4" i="11"/>
  <c r="Q5" i="11"/>
  <c r="R5" i="11" s="1"/>
  <c r="S5" i="11" s="1"/>
  <c r="T5" i="11" s="1"/>
  <c r="U5" i="11" s="1"/>
  <c r="V5" i="11" s="1"/>
  <c r="W5" i="11" s="1"/>
  <c r="J6" i="11"/>
  <c r="H36" i="11" l="1"/>
  <c r="H35" i="11"/>
  <c r="H39" i="11"/>
  <c r="H20" i="11"/>
  <c r="H18" i="11"/>
  <c r="H17" i="11"/>
  <c r="W4" i="11"/>
  <c r="X5" i="11"/>
  <c r="Y5" i="11" s="1"/>
  <c r="Z5" i="11" s="1"/>
  <c r="AA5" i="11" s="1"/>
  <c r="AB5" i="11" s="1"/>
  <c r="AC5" i="11" s="1"/>
  <c r="AD5" i="11" s="1"/>
  <c r="K6" i="11"/>
  <c r="H48" i="11" l="1"/>
  <c r="H47" i="11"/>
  <c r="AE5" i="11"/>
  <c r="AF5" i="11" s="1"/>
  <c r="AG5" i="11" s="1"/>
  <c r="AH5" i="11" s="1"/>
  <c r="AI5" i="11" s="1"/>
  <c r="AJ5" i="11" s="1"/>
  <c r="AD4" i="11"/>
  <c r="L6" i="11"/>
  <c r="H41" i="11" l="1"/>
  <c r="H40" i="11"/>
  <c r="M6" i="11"/>
  <c r="H42" i="11" l="1"/>
  <c r="N6" i="11"/>
  <c r="H43" i="11" l="1"/>
  <c r="O6" i="11"/>
  <c r="P6" i="11" l="1"/>
  <c r="Q6" i="11"/>
  <c r="R6" i="11" l="1"/>
  <c r="S6" i="11" l="1"/>
  <c r="T6" i="11" l="1"/>
  <c r="U6" i="11" l="1"/>
  <c r="V6" i="11" l="1"/>
  <c r="W6" i="11" l="1"/>
  <c r="X6" i="11" l="1"/>
  <c r="Y6" i="11" l="1"/>
  <c r="Z6" i="11" l="1"/>
  <c r="AA6" i="11" l="1"/>
  <c r="AB6" i="11" l="1"/>
  <c r="AC6" i="11" l="1"/>
  <c r="AD6" i="11" l="1"/>
  <c r="AE6" i="11" l="1"/>
  <c r="AF6" i="11" l="1"/>
  <c r="AG6" i="11" l="1"/>
  <c r="AH6" i="11" l="1"/>
  <c r="AI6" i="11" l="1"/>
  <c r="AJ6" i="11" l="1"/>
</calcChain>
</file>

<file path=xl/sharedStrings.xml><?xml version="1.0" encoding="utf-8"?>
<sst xmlns="http://schemas.openxmlformats.org/spreadsheetml/2006/main" count="100" uniqueCount="65">
  <si>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</si>
  <si>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</si>
  <si>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</si>
  <si>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</si>
  <si>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</si>
  <si>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</si>
  <si>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</si>
  <si>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</si>
  <si>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</si>
  <si>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</si>
  <si>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</si>
  <si>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</si>
  <si>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</si>
  <si>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</si>
  <si>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</si>
  <si>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</si>
  <si>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</si>
  <si>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</si>
  <si>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</si>
  <si>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</si>
  <si>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</si>
  <si>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</si>
  <si>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 xml:space="preserve">Mehgan </t>
  </si>
  <si>
    <t xml:space="preserve">Ryder </t>
  </si>
  <si>
    <t>Jacob</t>
  </si>
  <si>
    <t>Caden</t>
  </si>
  <si>
    <t xml:space="preserve">Github Repository </t>
  </si>
  <si>
    <t>Scope of Work</t>
  </si>
  <si>
    <t>Gnatt Chart</t>
  </si>
  <si>
    <t xml:space="preserve">Research Mix Scenarios </t>
  </si>
  <si>
    <t>Python Code</t>
  </si>
  <si>
    <t>Annotated Code Document</t>
  </si>
  <si>
    <t>Written Report</t>
  </si>
  <si>
    <t>Create Github</t>
  </si>
  <si>
    <t>Create README</t>
  </si>
  <si>
    <t>Upload all Files to Github</t>
  </si>
  <si>
    <t>Identify Clients Tasks</t>
  </si>
  <si>
    <t>Create SOW</t>
  </si>
  <si>
    <t>Task 1-2</t>
  </si>
  <si>
    <t>Task 3-4</t>
  </si>
  <si>
    <t>All</t>
  </si>
  <si>
    <t>Ryder/Jacob</t>
  </si>
  <si>
    <t>Mehgan/Caden</t>
  </si>
  <si>
    <t>Identifiy Clint tasks</t>
  </si>
  <si>
    <t>Create Gnatt Chart</t>
  </si>
  <si>
    <t>Ryder</t>
  </si>
  <si>
    <t>Review Document</t>
  </si>
  <si>
    <t>all</t>
  </si>
  <si>
    <t>Research Mix design 1</t>
  </si>
  <si>
    <t>Research Mix design 2</t>
  </si>
  <si>
    <t>Research Mix design 3</t>
  </si>
  <si>
    <t>Research Mix design 4</t>
  </si>
  <si>
    <t>Gather and asscess details</t>
  </si>
  <si>
    <t>Mehgan</t>
  </si>
  <si>
    <t>Lab 1 Material</t>
  </si>
  <si>
    <t>Lab 2 Material</t>
  </si>
  <si>
    <t>Lab 3 Material</t>
  </si>
  <si>
    <t xml:space="preserve">Jacob </t>
  </si>
  <si>
    <t>Create Wrtten Report</t>
  </si>
  <si>
    <t xml:space="preserve">Analyze Information outputed </t>
  </si>
  <si>
    <t>Review Documents</t>
  </si>
  <si>
    <t>CIVE 202 Project #2</t>
  </si>
  <si>
    <t>Ryder Anderson, Jacob Kosmicki, Caden Cerny, and Mehgan Palino-Alejandro</t>
  </si>
  <si>
    <t>Final Product/Submit</t>
  </si>
  <si>
    <t>Path of arrows are 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</si>
</sst>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sz val="40"/>
      <color theme="1"/>
      <name val="Arial"/>
      <family val="2"/>
      <scheme val="minor"/>
    </font>
    <font>
      <sz val="18"/>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19" xfId="0" applyNumberFormat="1" applyFont="1" applyFill="1" applyBorder="1" applyAlignment="1">
      <alignment horizontal="center" vertical="center"/>
    </xf>
    <xf numFmtId="167" fontId="19" fillId="12" borderId="17"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0" fontId="20" fillId="2" borderId="16"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9" fillId="0" borderId="0" xfId="0" applyFont="1"/>
    <xf numFmtId="0" fontId="30" fillId="0" borderId="0" xfId="0" applyFont="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11" fillId="0" borderId="0" xfId="3" applyAlignment="1">
      <alignment wrapText="1"/>
    </xf>
    <xf numFmtId="0" fontId="18"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8" fillId="11" borderId="15" xfId="0" applyFont="1" applyFill="1" applyBorder="1" applyAlignment="1">
      <alignment vertical="center"/>
    </xf>
    <xf numFmtId="0" fontId="4" fillId="2" borderId="20" xfId="0" applyFont="1" applyFill="1" applyBorder="1"/>
    <xf numFmtId="0" fontId="18" fillId="11" borderId="15" xfId="0" applyFont="1" applyFill="1" applyBorder="1" applyAlignment="1">
      <alignment horizontal="center" vertical="center"/>
    </xf>
    <xf numFmtId="166" fontId="17" fillId="2" borderId="17" xfId="0" applyNumberFormat="1" applyFont="1" applyFill="1" applyBorder="1" applyAlignment="1">
      <alignment horizontal="center" vertical="center" wrapText="1"/>
    </xf>
    <xf numFmtId="166" fontId="17" fillId="2" borderId="13"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36</xdr:col>
      <xdr:colOff>169333</xdr:colOff>
      <xdr:row>8</xdr:row>
      <xdr:rowOff>183445</xdr:rowOff>
    </xdr:from>
    <xdr:to>
      <xdr:col>37</xdr:col>
      <xdr:colOff>0</xdr:colOff>
      <xdr:row>47</xdr:row>
      <xdr:rowOff>239889</xdr:rowOff>
    </xdr:to>
    <xdr:cxnSp macro="">
      <xdr:nvCxnSpPr>
        <xdr:cNvPr id="13" name="Straight Connector 12">
          <a:extLst>
            <a:ext uri="{FF2B5EF4-FFF2-40B4-BE49-F238E27FC236}">
              <a16:creationId xmlns:a16="http://schemas.microsoft.com/office/drawing/2014/main" id="{FF8820E1-5B80-D608-0D0F-4D9EFCDE9398}"/>
            </a:ext>
          </a:extLst>
        </xdr:cNvPr>
        <xdr:cNvCxnSpPr/>
      </xdr:nvCxnSpPr>
      <xdr:spPr>
        <a:xfrm>
          <a:off x="15028333" y="3245556"/>
          <a:ext cx="42334" cy="149154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112889</xdr:colOff>
      <xdr:row>47</xdr:row>
      <xdr:rowOff>183445</xdr:rowOff>
    </xdr:from>
    <xdr:to>
      <xdr:col>37</xdr:col>
      <xdr:colOff>0</xdr:colOff>
      <xdr:row>47</xdr:row>
      <xdr:rowOff>183445</xdr:rowOff>
    </xdr:to>
    <xdr:cxnSp macro="">
      <xdr:nvCxnSpPr>
        <xdr:cNvPr id="15" name="Straight Arrow Connector 14">
          <a:extLst>
            <a:ext uri="{FF2B5EF4-FFF2-40B4-BE49-F238E27FC236}">
              <a16:creationId xmlns:a16="http://schemas.microsoft.com/office/drawing/2014/main" id="{43CBC28E-C977-2A5A-8EF6-7E767F3F264A}"/>
            </a:ext>
          </a:extLst>
        </xdr:cNvPr>
        <xdr:cNvCxnSpPr/>
      </xdr:nvCxnSpPr>
      <xdr:spPr>
        <a:xfrm>
          <a:off x="13278556" y="18104556"/>
          <a:ext cx="179211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98777</xdr:colOff>
      <xdr:row>42</xdr:row>
      <xdr:rowOff>169333</xdr:rowOff>
    </xdr:from>
    <xdr:to>
      <xdr:col>36</xdr:col>
      <xdr:colOff>197556</xdr:colOff>
      <xdr:row>42</xdr:row>
      <xdr:rowOff>183445</xdr:rowOff>
    </xdr:to>
    <xdr:cxnSp macro="">
      <xdr:nvCxnSpPr>
        <xdr:cNvPr id="17" name="Straight Arrow Connector 16">
          <a:extLst>
            <a:ext uri="{FF2B5EF4-FFF2-40B4-BE49-F238E27FC236}">
              <a16:creationId xmlns:a16="http://schemas.microsoft.com/office/drawing/2014/main" id="{0AEAC03A-59FE-16CF-A6BB-4F8D95810600}"/>
            </a:ext>
          </a:extLst>
        </xdr:cNvPr>
        <xdr:cNvCxnSpPr/>
      </xdr:nvCxnSpPr>
      <xdr:spPr>
        <a:xfrm>
          <a:off x="13264444" y="16185444"/>
          <a:ext cx="1792112" cy="141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141111</xdr:colOff>
      <xdr:row>36</xdr:row>
      <xdr:rowOff>155222</xdr:rowOff>
    </xdr:from>
    <xdr:to>
      <xdr:col>36</xdr:col>
      <xdr:colOff>183444</xdr:colOff>
      <xdr:row>36</xdr:row>
      <xdr:rowOff>169333</xdr:rowOff>
    </xdr:to>
    <xdr:cxnSp macro="">
      <xdr:nvCxnSpPr>
        <xdr:cNvPr id="19" name="Straight Arrow Connector 18">
          <a:extLst>
            <a:ext uri="{FF2B5EF4-FFF2-40B4-BE49-F238E27FC236}">
              <a16:creationId xmlns:a16="http://schemas.microsoft.com/office/drawing/2014/main" id="{9CE064E7-D611-6F55-B81C-795C589D1478}"/>
            </a:ext>
          </a:extLst>
        </xdr:cNvPr>
        <xdr:cNvCxnSpPr/>
      </xdr:nvCxnSpPr>
      <xdr:spPr>
        <a:xfrm flipV="1">
          <a:off x="13306778" y="13885333"/>
          <a:ext cx="1735666" cy="14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155222</xdr:colOff>
      <xdr:row>30</xdr:row>
      <xdr:rowOff>169333</xdr:rowOff>
    </xdr:from>
    <xdr:to>
      <xdr:col>36</xdr:col>
      <xdr:colOff>183444</xdr:colOff>
      <xdr:row>30</xdr:row>
      <xdr:rowOff>169333</xdr:rowOff>
    </xdr:to>
    <xdr:cxnSp macro="">
      <xdr:nvCxnSpPr>
        <xdr:cNvPr id="21" name="Straight Arrow Connector 20">
          <a:extLst>
            <a:ext uri="{FF2B5EF4-FFF2-40B4-BE49-F238E27FC236}">
              <a16:creationId xmlns:a16="http://schemas.microsoft.com/office/drawing/2014/main" id="{322D58DF-2BE8-2B6B-0E6E-71F46566AE46}"/>
            </a:ext>
          </a:extLst>
        </xdr:cNvPr>
        <xdr:cNvCxnSpPr/>
      </xdr:nvCxnSpPr>
      <xdr:spPr>
        <a:xfrm>
          <a:off x="12685889" y="11613444"/>
          <a:ext cx="235655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112889</xdr:colOff>
      <xdr:row>24</xdr:row>
      <xdr:rowOff>155222</xdr:rowOff>
    </xdr:from>
    <xdr:to>
      <xdr:col>36</xdr:col>
      <xdr:colOff>155222</xdr:colOff>
      <xdr:row>24</xdr:row>
      <xdr:rowOff>169333</xdr:rowOff>
    </xdr:to>
    <xdr:cxnSp macro="">
      <xdr:nvCxnSpPr>
        <xdr:cNvPr id="23" name="Straight Arrow Connector 22">
          <a:extLst>
            <a:ext uri="{FF2B5EF4-FFF2-40B4-BE49-F238E27FC236}">
              <a16:creationId xmlns:a16="http://schemas.microsoft.com/office/drawing/2014/main" id="{59B6F9BD-89FE-94FF-25A3-B3E0CA459D83}"/>
            </a:ext>
          </a:extLst>
        </xdr:cNvPr>
        <xdr:cNvCxnSpPr/>
      </xdr:nvCxnSpPr>
      <xdr:spPr>
        <a:xfrm flipV="1">
          <a:off x="11373556" y="9313333"/>
          <a:ext cx="3640666" cy="14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141111</xdr:colOff>
      <xdr:row>19</xdr:row>
      <xdr:rowOff>183445</xdr:rowOff>
    </xdr:from>
    <xdr:to>
      <xdr:col>36</xdr:col>
      <xdr:colOff>127000</xdr:colOff>
      <xdr:row>19</xdr:row>
      <xdr:rowOff>197556</xdr:rowOff>
    </xdr:to>
    <xdr:cxnSp macro="">
      <xdr:nvCxnSpPr>
        <xdr:cNvPr id="27" name="Straight Arrow Connector 26">
          <a:extLst>
            <a:ext uri="{FF2B5EF4-FFF2-40B4-BE49-F238E27FC236}">
              <a16:creationId xmlns:a16="http://schemas.microsoft.com/office/drawing/2014/main" id="{3287583A-EFAE-9B94-822E-C84AA714315A}"/>
            </a:ext>
          </a:extLst>
        </xdr:cNvPr>
        <xdr:cNvCxnSpPr/>
      </xdr:nvCxnSpPr>
      <xdr:spPr>
        <a:xfrm flipV="1">
          <a:off x="12883444" y="7436556"/>
          <a:ext cx="2102556" cy="14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42333</xdr:colOff>
      <xdr:row>8</xdr:row>
      <xdr:rowOff>183445</xdr:rowOff>
    </xdr:from>
    <xdr:to>
      <xdr:col>36</xdr:col>
      <xdr:colOff>183444</xdr:colOff>
      <xdr:row>8</xdr:row>
      <xdr:rowOff>197556</xdr:rowOff>
    </xdr:to>
    <xdr:cxnSp macro="">
      <xdr:nvCxnSpPr>
        <xdr:cNvPr id="29" name="Straight Arrow Connector 28">
          <a:extLst>
            <a:ext uri="{FF2B5EF4-FFF2-40B4-BE49-F238E27FC236}">
              <a16:creationId xmlns:a16="http://schemas.microsoft.com/office/drawing/2014/main" id="{29290B93-DAE1-67D3-1AF8-51D6B04D3AB2}"/>
            </a:ext>
          </a:extLst>
        </xdr:cNvPr>
        <xdr:cNvCxnSpPr/>
      </xdr:nvCxnSpPr>
      <xdr:spPr>
        <a:xfrm flipH="1" flipV="1">
          <a:off x="11726333" y="3245556"/>
          <a:ext cx="3316111" cy="14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550333</xdr:colOff>
      <xdr:row>32</xdr:row>
      <xdr:rowOff>56445</xdr:rowOff>
    </xdr:from>
    <xdr:to>
      <xdr:col>37</xdr:col>
      <xdr:colOff>606777</xdr:colOff>
      <xdr:row>40</xdr:row>
      <xdr:rowOff>225778</xdr:rowOff>
    </xdr:to>
    <xdr:cxnSp macro="">
      <xdr:nvCxnSpPr>
        <xdr:cNvPr id="32" name="Straight Connector 31">
          <a:extLst>
            <a:ext uri="{FF2B5EF4-FFF2-40B4-BE49-F238E27FC236}">
              <a16:creationId xmlns:a16="http://schemas.microsoft.com/office/drawing/2014/main" id="{9287B2CF-4F36-C3B3-0BE7-5D08F555883D}"/>
            </a:ext>
          </a:extLst>
        </xdr:cNvPr>
        <xdr:cNvCxnSpPr/>
      </xdr:nvCxnSpPr>
      <xdr:spPr>
        <a:xfrm>
          <a:off x="15621000" y="12262556"/>
          <a:ext cx="56444" cy="3217333"/>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14111</xdr:colOff>
      <xdr:row>32</xdr:row>
      <xdr:rowOff>211667</xdr:rowOff>
    </xdr:from>
    <xdr:to>
      <xdr:col>37</xdr:col>
      <xdr:colOff>550333</xdr:colOff>
      <xdr:row>32</xdr:row>
      <xdr:rowOff>225778</xdr:rowOff>
    </xdr:to>
    <xdr:cxnSp macro="">
      <xdr:nvCxnSpPr>
        <xdr:cNvPr id="34" name="Straight Arrow Connector 33">
          <a:extLst>
            <a:ext uri="{FF2B5EF4-FFF2-40B4-BE49-F238E27FC236}">
              <a16:creationId xmlns:a16="http://schemas.microsoft.com/office/drawing/2014/main" id="{2307D458-1E5F-635D-BF39-4669DAEF4C18}"/>
            </a:ext>
          </a:extLst>
        </xdr:cNvPr>
        <xdr:cNvCxnSpPr/>
      </xdr:nvCxnSpPr>
      <xdr:spPr>
        <a:xfrm>
          <a:off x="12968111" y="12417778"/>
          <a:ext cx="2652889" cy="1411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14111</xdr:colOff>
      <xdr:row>33</xdr:row>
      <xdr:rowOff>183445</xdr:rowOff>
    </xdr:from>
    <xdr:to>
      <xdr:col>37</xdr:col>
      <xdr:colOff>564444</xdr:colOff>
      <xdr:row>33</xdr:row>
      <xdr:rowOff>197556</xdr:rowOff>
    </xdr:to>
    <xdr:cxnSp macro="">
      <xdr:nvCxnSpPr>
        <xdr:cNvPr id="36" name="Straight Arrow Connector 35">
          <a:extLst>
            <a:ext uri="{FF2B5EF4-FFF2-40B4-BE49-F238E27FC236}">
              <a16:creationId xmlns:a16="http://schemas.microsoft.com/office/drawing/2014/main" id="{D1D18D67-2445-A632-9676-0BCC9CE6320C}"/>
            </a:ext>
          </a:extLst>
        </xdr:cNvPr>
        <xdr:cNvCxnSpPr/>
      </xdr:nvCxnSpPr>
      <xdr:spPr>
        <a:xfrm>
          <a:off x="12968111" y="12770556"/>
          <a:ext cx="2667000" cy="1411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197556</xdr:colOff>
      <xdr:row>34</xdr:row>
      <xdr:rowOff>169333</xdr:rowOff>
    </xdr:from>
    <xdr:to>
      <xdr:col>37</xdr:col>
      <xdr:colOff>536222</xdr:colOff>
      <xdr:row>34</xdr:row>
      <xdr:rowOff>183445</xdr:rowOff>
    </xdr:to>
    <xdr:cxnSp macro="">
      <xdr:nvCxnSpPr>
        <xdr:cNvPr id="38" name="Straight Arrow Connector 37">
          <a:extLst>
            <a:ext uri="{FF2B5EF4-FFF2-40B4-BE49-F238E27FC236}">
              <a16:creationId xmlns:a16="http://schemas.microsoft.com/office/drawing/2014/main" id="{B5353E9C-96C8-9441-E816-9A30F7FBBC39}"/>
            </a:ext>
          </a:extLst>
        </xdr:cNvPr>
        <xdr:cNvCxnSpPr/>
      </xdr:nvCxnSpPr>
      <xdr:spPr>
        <a:xfrm>
          <a:off x="12939889" y="13137444"/>
          <a:ext cx="2667000" cy="14112"/>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28222</xdr:colOff>
      <xdr:row>38</xdr:row>
      <xdr:rowOff>141111</xdr:rowOff>
    </xdr:from>
    <xdr:to>
      <xdr:col>37</xdr:col>
      <xdr:colOff>606777</xdr:colOff>
      <xdr:row>38</xdr:row>
      <xdr:rowOff>141111</xdr:rowOff>
    </xdr:to>
    <xdr:cxnSp macro="">
      <xdr:nvCxnSpPr>
        <xdr:cNvPr id="40" name="Straight Arrow Connector 39">
          <a:extLst>
            <a:ext uri="{FF2B5EF4-FFF2-40B4-BE49-F238E27FC236}">
              <a16:creationId xmlns:a16="http://schemas.microsoft.com/office/drawing/2014/main" id="{5CAFBF1D-F6D5-B63E-9711-A8562C19D44D}"/>
            </a:ext>
          </a:extLst>
        </xdr:cNvPr>
        <xdr:cNvCxnSpPr/>
      </xdr:nvCxnSpPr>
      <xdr:spPr>
        <a:xfrm flipH="1">
          <a:off x="12982222" y="14633222"/>
          <a:ext cx="2695222"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28222</xdr:colOff>
      <xdr:row>39</xdr:row>
      <xdr:rowOff>169333</xdr:rowOff>
    </xdr:from>
    <xdr:to>
      <xdr:col>37</xdr:col>
      <xdr:colOff>606777</xdr:colOff>
      <xdr:row>39</xdr:row>
      <xdr:rowOff>183445</xdr:rowOff>
    </xdr:to>
    <xdr:cxnSp macro="">
      <xdr:nvCxnSpPr>
        <xdr:cNvPr id="42" name="Straight Arrow Connector 41">
          <a:extLst>
            <a:ext uri="{FF2B5EF4-FFF2-40B4-BE49-F238E27FC236}">
              <a16:creationId xmlns:a16="http://schemas.microsoft.com/office/drawing/2014/main" id="{59C63E88-B93F-4ABB-3F20-40F3F4905172}"/>
            </a:ext>
          </a:extLst>
        </xdr:cNvPr>
        <xdr:cNvCxnSpPr/>
      </xdr:nvCxnSpPr>
      <xdr:spPr>
        <a:xfrm flipH="1">
          <a:off x="12982222" y="15042444"/>
          <a:ext cx="2695222" cy="14112"/>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197556</xdr:colOff>
      <xdr:row>40</xdr:row>
      <xdr:rowOff>211667</xdr:rowOff>
    </xdr:from>
    <xdr:to>
      <xdr:col>37</xdr:col>
      <xdr:colOff>606777</xdr:colOff>
      <xdr:row>40</xdr:row>
      <xdr:rowOff>211667</xdr:rowOff>
    </xdr:to>
    <xdr:cxnSp macro="">
      <xdr:nvCxnSpPr>
        <xdr:cNvPr id="44" name="Straight Arrow Connector 43">
          <a:extLst>
            <a:ext uri="{FF2B5EF4-FFF2-40B4-BE49-F238E27FC236}">
              <a16:creationId xmlns:a16="http://schemas.microsoft.com/office/drawing/2014/main" id="{A219408E-0F71-D189-B477-3842737C9571}"/>
            </a:ext>
          </a:extLst>
        </xdr:cNvPr>
        <xdr:cNvCxnSpPr/>
      </xdr:nvCxnSpPr>
      <xdr:spPr>
        <a:xfrm flipH="1">
          <a:off x="12939889" y="15465778"/>
          <a:ext cx="273755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38</xdr:col>
      <xdr:colOff>508000</xdr:colOff>
      <xdr:row>12</xdr:row>
      <xdr:rowOff>127000</xdr:rowOff>
    </xdr:from>
    <xdr:to>
      <xdr:col>39</xdr:col>
      <xdr:colOff>0</xdr:colOff>
      <xdr:row>47</xdr:row>
      <xdr:rowOff>296333</xdr:rowOff>
    </xdr:to>
    <xdr:cxnSp macro="">
      <xdr:nvCxnSpPr>
        <xdr:cNvPr id="50" name="Straight Connector 49">
          <a:extLst>
            <a:ext uri="{FF2B5EF4-FFF2-40B4-BE49-F238E27FC236}">
              <a16:creationId xmlns:a16="http://schemas.microsoft.com/office/drawing/2014/main" id="{E2E02A3A-E65A-94EE-23E1-D942FA0533BD}"/>
            </a:ext>
          </a:extLst>
        </xdr:cNvPr>
        <xdr:cNvCxnSpPr/>
      </xdr:nvCxnSpPr>
      <xdr:spPr>
        <a:xfrm>
          <a:off x="16241889" y="4713111"/>
          <a:ext cx="155222" cy="1350433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28222</xdr:colOff>
      <xdr:row>44</xdr:row>
      <xdr:rowOff>141111</xdr:rowOff>
    </xdr:from>
    <xdr:to>
      <xdr:col>38</xdr:col>
      <xdr:colOff>649111</xdr:colOff>
      <xdr:row>44</xdr:row>
      <xdr:rowOff>155222</xdr:rowOff>
    </xdr:to>
    <xdr:cxnSp macro="">
      <xdr:nvCxnSpPr>
        <xdr:cNvPr id="52" name="Straight Arrow Connector 51">
          <a:extLst>
            <a:ext uri="{FF2B5EF4-FFF2-40B4-BE49-F238E27FC236}">
              <a16:creationId xmlns:a16="http://schemas.microsoft.com/office/drawing/2014/main" id="{8C11F6D1-9017-D316-097B-F8C0635C6210}"/>
            </a:ext>
          </a:extLst>
        </xdr:cNvPr>
        <xdr:cNvCxnSpPr/>
      </xdr:nvCxnSpPr>
      <xdr:spPr>
        <a:xfrm flipH="1">
          <a:off x="11712222" y="16919222"/>
          <a:ext cx="4670778" cy="141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141111</xdr:colOff>
      <xdr:row>42</xdr:row>
      <xdr:rowOff>296333</xdr:rowOff>
    </xdr:from>
    <xdr:to>
      <xdr:col>38</xdr:col>
      <xdr:colOff>635000</xdr:colOff>
      <xdr:row>42</xdr:row>
      <xdr:rowOff>296333</xdr:rowOff>
    </xdr:to>
    <xdr:cxnSp macro="">
      <xdr:nvCxnSpPr>
        <xdr:cNvPr id="54" name="Straight Arrow Connector 53">
          <a:extLst>
            <a:ext uri="{FF2B5EF4-FFF2-40B4-BE49-F238E27FC236}">
              <a16:creationId xmlns:a16="http://schemas.microsoft.com/office/drawing/2014/main" id="{357D3109-9FCC-FBDA-5724-013B32E4728C}"/>
            </a:ext>
          </a:extLst>
        </xdr:cNvPr>
        <xdr:cNvCxnSpPr/>
      </xdr:nvCxnSpPr>
      <xdr:spPr>
        <a:xfrm>
          <a:off x="13306778" y="16312444"/>
          <a:ext cx="306211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141111</xdr:colOff>
      <xdr:row>36</xdr:row>
      <xdr:rowOff>254000</xdr:rowOff>
    </xdr:from>
    <xdr:to>
      <xdr:col>38</xdr:col>
      <xdr:colOff>635000</xdr:colOff>
      <xdr:row>36</xdr:row>
      <xdr:rowOff>268111</xdr:rowOff>
    </xdr:to>
    <xdr:cxnSp macro="">
      <xdr:nvCxnSpPr>
        <xdr:cNvPr id="56" name="Straight Arrow Connector 55">
          <a:extLst>
            <a:ext uri="{FF2B5EF4-FFF2-40B4-BE49-F238E27FC236}">
              <a16:creationId xmlns:a16="http://schemas.microsoft.com/office/drawing/2014/main" id="{F2F26569-ED24-F854-4467-7534C53BEDBF}"/>
            </a:ext>
          </a:extLst>
        </xdr:cNvPr>
        <xdr:cNvCxnSpPr/>
      </xdr:nvCxnSpPr>
      <xdr:spPr>
        <a:xfrm flipV="1">
          <a:off x="13306778" y="13984111"/>
          <a:ext cx="3062111" cy="141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183444</xdr:colOff>
      <xdr:row>30</xdr:row>
      <xdr:rowOff>296333</xdr:rowOff>
    </xdr:from>
    <xdr:to>
      <xdr:col>38</xdr:col>
      <xdr:colOff>620889</xdr:colOff>
      <xdr:row>30</xdr:row>
      <xdr:rowOff>310445</xdr:rowOff>
    </xdr:to>
    <xdr:cxnSp macro="">
      <xdr:nvCxnSpPr>
        <xdr:cNvPr id="58" name="Straight Arrow Connector 57">
          <a:extLst>
            <a:ext uri="{FF2B5EF4-FFF2-40B4-BE49-F238E27FC236}">
              <a16:creationId xmlns:a16="http://schemas.microsoft.com/office/drawing/2014/main" id="{D14713E6-4B68-9C2F-46C7-B1785CD85FD6}"/>
            </a:ext>
          </a:extLst>
        </xdr:cNvPr>
        <xdr:cNvCxnSpPr/>
      </xdr:nvCxnSpPr>
      <xdr:spPr>
        <a:xfrm>
          <a:off x="12714111" y="11740444"/>
          <a:ext cx="3640667" cy="1411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155222</xdr:colOff>
      <xdr:row>24</xdr:row>
      <xdr:rowOff>268111</xdr:rowOff>
    </xdr:from>
    <xdr:to>
      <xdr:col>38</xdr:col>
      <xdr:colOff>550333</xdr:colOff>
      <xdr:row>24</xdr:row>
      <xdr:rowOff>268111</xdr:rowOff>
    </xdr:to>
    <xdr:cxnSp macro="">
      <xdr:nvCxnSpPr>
        <xdr:cNvPr id="60" name="Straight Arrow Connector 59">
          <a:extLst>
            <a:ext uri="{FF2B5EF4-FFF2-40B4-BE49-F238E27FC236}">
              <a16:creationId xmlns:a16="http://schemas.microsoft.com/office/drawing/2014/main" id="{D32C1624-E510-6C5F-7604-961380749B20}"/>
            </a:ext>
          </a:extLst>
        </xdr:cNvPr>
        <xdr:cNvCxnSpPr/>
      </xdr:nvCxnSpPr>
      <xdr:spPr>
        <a:xfrm>
          <a:off x="11415889" y="9426222"/>
          <a:ext cx="486833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169334</xdr:colOff>
      <xdr:row>19</xdr:row>
      <xdr:rowOff>254000</xdr:rowOff>
    </xdr:from>
    <xdr:to>
      <xdr:col>38</xdr:col>
      <xdr:colOff>564444</xdr:colOff>
      <xdr:row>19</xdr:row>
      <xdr:rowOff>296333</xdr:rowOff>
    </xdr:to>
    <xdr:cxnSp macro="">
      <xdr:nvCxnSpPr>
        <xdr:cNvPr id="62" name="Straight Arrow Connector 61">
          <a:extLst>
            <a:ext uri="{FF2B5EF4-FFF2-40B4-BE49-F238E27FC236}">
              <a16:creationId xmlns:a16="http://schemas.microsoft.com/office/drawing/2014/main" id="{DD236CB8-9CF3-86AF-5B93-47055E67A247}"/>
            </a:ext>
          </a:extLst>
        </xdr:cNvPr>
        <xdr:cNvCxnSpPr/>
      </xdr:nvCxnSpPr>
      <xdr:spPr>
        <a:xfrm flipV="1">
          <a:off x="12911667" y="7507111"/>
          <a:ext cx="3386666" cy="423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127000</xdr:colOff>
      <xdr:row>12</xdr:row>
      <xdr:rowOff>268111</xdr:rowOff>
    </xdr:from>
    <xdr:to>
      <xdr:col>38</xdr:col>
      <xdr:colOff>479778</xdr:colOff>
      <xdr:row>12</xdr:row>
      <xdr:rowOff>268111</xdr:rowOff>
    </xdr:to>
    <xdr:cxnSp macro="">
      <xdr:nvCxnSpPr>
        <xdr:cNvPr id="64" name="Straight Arrow Connector 63">
          <a:extLst>
            <a:ext uri="{FF2B5EF4-FFF2-40B4-BE49-F238E27FC236}">
              <a16:creationId xmlns:a16="http://schemas.microsoft.com/office/drawing/2014/main" id="{45EB592E-E4C8-1DC0-751C-8B633387A347}"/>
            </a:ext>
          </a:extLst>
        </xdr:cNvPr>
        <xdr:cNvCxnSpPr/>
      </xdr:nvCxnSpPr>
      <xdr:spPr>
        <a:xfrm>
          <a:off x="13504333" y="4854222"/>
          <a:ext cx="27093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P48"/>
  <sheetViews>
    <sheetView showGridLines="0" tabSelected="1" showRuler="0" zoomScale="94" zoomScaleNormal="100" zoomScalePageLayoutView="70" workbookViewId="0">
      <selection activeCell="D50" sqref="D50"/>
    </sheetView>
  </sheetViews>
  <sheetFormatPr defaultColWidth="8.69921875" defaultRowHeight="30" customHeight="1" x14ac:dyDescent="0.25"/>
  <cols>
    <col min="1" max="1" width="2.69921875" style="10" customWidth="1"/>
    <col min="2" max="2" width="58.296875" bestFit="1" customWidth="1"/>
    <col min="3" max="3" width="21.09765625" bestFit="1" customWidth="1"/>
    <col min="4" max="4" width="10.69921875" customWidth="1"/>
    <col min="5" max="5" width="10.69921875" style="2" customWidth="1"/>
    <col min="6" max="6" width="10.69921875" customWidth="1"/>
    <col min="7" max="7" width="2.69921875" customWidth="1"/>
    <col min="8" max="8" width="6" hidden="1" customWidth="1"/>
    <col min="9" max="37" width="2.69921875" customWidth="1"/>
    <col min="40" max="40" width="8.09765625" customWidth="1"/>
    <col min="42" max="42" width="40.5" bestFit="1" customWidth="1"/>
  </cols>
  <sheetData>
    <row r="1" spans="1:42" ht="90" customHeight="1" x14ac:dyDescent="1.45">
      <c r="A1" s="11"/>
      <c r="B1" s="82" t="s">
        <v>61</v>
      </c>
      <c r="C1" s="13"/>
      <c r="D1" s="14"/>
      <c r="E1" s="15"/>
      <c r="F1" s="16"/>
      <c r="H1" s="1"/>
      <c r="I1" s="95" t="s">
        <v>19</v>
      </c>
      <c r="J1" s="96"/>
      <c r="K1" s="96"/>
      <c r="L1" s="96"/>
      <c r="M1" s="96"/>
      <c r="N1" s="96"/>
      <c r="O1" s="96"/>
      <c r="P1" s="19"/>
      <c r="Q1" s="94">
        <v>46059</v>
      </c>
      <c r="R1" s="93"/>
      <c r="S1" s="93"/>
      <c r="T1" s="93"/>
      <c r="U1" s="93"/>
      <c r="V1" s="93"/>
      <c r="W1" s="93"/>
      <c r="X1" s="93"/>
      <c r="Y1" s="93"/>
      <c r="Z1" s="93"/>
      <c r="AP1" s="90"/>
    </row>
    <row r="2" spans="1:42" ht="30" customHeight="1" x14ac:dyDescent="0.6">
      <c r="B2" s="80" t="s">
        <v>62</v>
      </c>
      <c r="C2" s="81"/>
      <c r="D2" s="17"/>
      <c r="E2" s="18"/>
      <c r="F2" s="17"/>
      <c r="I2" s="95" t="s">
        <v>20</v>
      </c>
      <c r="J2" s="96"/>
      <c r="K2" s="96"/>
      <c r="L2" s="96"/>
      <c r="M2" s="96"/>
      <c r="N2" s="96"/>
      <c r="O2" s="96"/>
      <c r="P2" s="19"/>
      <c r="Q2" s="92">
        <v>1</v>
      </c>
      <c r="R2" s="93"/>
      <c r="S2" s="93"/>
      <c r="T2" s="93"/>
      <c r="U2" s="93"/>
      <c r="V2" s="93"/>
      <c r="W2" s="93"/>
      <c r="X2" s="93"/>
      <c r="Y2" s="93"/>
      <c r="Z2" s="93"/>
    </row>
    <row r="3" spans="1:42" s="21" customFormat="1" ht="30" customHeight="1" x14ac:dyDescent="0.25">
      <c r="A3" s="10"/>
      <c r="B3" s="20"/>
      <c r="D3" s="22"/>
      <c r="E3" s="23"/>
    </row>
    <row r="4" spans="1:42" s="21" customFormat="1" ht="30" customHeight="1" x14ac:dyDescent="0.4">
      <c r="A4" s="11"/>
      <c r="B4" s="24"/>
      <c r="E4" s="25"/>
      <c r="I4" s="103">
        <f>I5</f>
        <v>46055</v>
      </c>
      <c r="J4" s="104"/>
      <c r="K4" s="104"/>
      <c r="L4" s="104"/>
      <c r="M4" s="104"/>
      <c r="N4" s="104"/>
      <c r="O4" s="104"/>
      <c r="P4" s="104">
        <f>P5</f>
        <v>46062</v>
      </c>
      <c r="Q4" s="104"/>
      <c r="R4" s="104"/>
      <c r="S4" s="104"/>
      <c r="T4" s="104"/>
      <c r="U4" s="104"/>
      <c r="V4" s="104"/>
      <c r="W4" s="104">
        <f>W5</f>
        <v>46069</v>
      </c>
      <c r="X4" s="104"/>
      <c r="Y4" s="104"/>
      <c r="Z4" s="104"/>
      <c r="AA4" s="104"/>
      <c r="AB4" s="104"/>
      <c r="AC4" s="104"/>
      <c r="AD4" s="104">
        <f>AD5</f>
        <v>46076</v>
      </c>
      <c r="AE4" s="104"/>
      <c r="AF4" s="104"/>
      <c r="AG4" s="104"/>
      <c r="AH4" s="104"/>
      <c r="AI4" s="104"/>
      <c r="AJ4" s="104"/>
      <c r="AN4" s="91" t="s">
        <v>64</v>
      </c>
    </row>
    <row r="5" spans="1:42" s="21" customFormat="1" ht="15" customHeight="1" x14ac:dyDescent="0.25">
      <c r="A5" s="97"/>
      <c r="B5" s="98" t="s">
        <v>4</v>
      </c>
      <c r="C5" s="100" t="s">
        <v>21</v>
      </c>
      <c r="D5" s="102" t="s">
        <v>0</v>
      </c>
      <c r="E5" s="102" t="s">
        <v>2</v>
      </c>
      <c r="F5" s="102" t="s">
        <v>3</v>
      </c>
      <c r="I5" s="26">
        <f>Project_Start-WEEKDAY(Project_Start,1)+2+7*(Display_Week-1)</f>
        <v>46055</v>
      </c>
      <c r="J5" s="26">
        <f>I5+1</f>
        <v>46056</v>
      </c>
      <c r="K5" s="26">
        <f t="shared" ref="K5:AJ5" si="0">J5+1</f>
        <v>46057</v>
      </c>
      <c r="L5" s="26">
        <f t="shared" si="0"/>
        <v>46058</v>
      </c>
      <c r="M5" s="26">
        <f t="shared" si="0"/>
        <v>46059</v>
      </c>
      <c r="N5" s="26">
        <f t="shared" si="0"/>
        <v>46060</v>
      </c>
      <c r="O5" s="27">
        <f t="shared" si="0"/>
        <v>46061</v>
      </c>
      <c r="P5" s="28">
        <f>O5+1</f>
        <v>46062</v>
      </c>
      <c r="Q5" s="26">
        <f>P5+1</f>
        <v>46063</v>
      </c>
      <c r="R5" s="26">
        <f t="shared" si="0"/>
        <v>46064</v>
      </c>
      <c r="S5" s="26">
        <f t="shared" si="0"/>
        <v>46065</v>
      </c>
      <c r="T5" s="26">
        <f t="shared" si="0"/>
        <v>46066</v>
      </c>
      <c r="U5" s="26">
        <f t="shared" si="0"/>
        <v>46067</v>
      </c>
      <c r="V5" s="27">
        <f t="shared" si="0"/>
        <v>46068</v>
      </c>
      <c r="W5" s="28">
        <f>V5+1</f>
        <v>46069</v>
      </c>
      <c r="X5" s="26">
        <f>W5+1</f>
        <v>46070</v>
      </c>
      <c r="Y5" s="26">
        <f t="shared" si="0"/>
        <v>46071</v>
      </c>
      <c r="Z5" s="26">
        <f t="shared" si="0"/>
        <v>46072</v>
      </c>
      <c r="AA5" s="26">
        <f t="shared" si="0"/>
        <v>46073</v>
      </c>
      <c r="AB5" s="26">
        <f t="shared" si="0"/>
        <v>46074</v>
      </c>
      <c r="AC5" s="27">
        <f t="shared" si="0"/>
        <v>46075</v>
      </c>
      <c r="AD5" s="28">
        <f>AC5+1</f>
        <v>46076</v>
      </c>
      <c r="AE5" s="26">
        <f>AD5+1</f>
        <v>46077</v>
      </c>
      <c r="AF5" s="26">
        <f t="shared" si="0"/>
        <v>46078</v>
      </c>
      <c r="AG5" s="26">
        <f t="shared" si="0"/>
        <v>46079</v>
      </c>
      <c r="AH5" s="26">
        <f t="shared" si="0"/>
        <v>46080</v>
      </c>
      <c r="AI5" s="26">
        <f t="shared" si="0"/>
        <v>46081</v>
      </c>
      <c r="AJ5" s="27">
        <f t="shared" si="0"/>
        <v>46082</v>
      </c>
    </row>
    <row r="6" spans="1:42" s="21" customFormat="1" ht="15" customHeight="1" thickBot="1" x14ac:dyDescent="0.3">
      <c r="A6" s="97"/>
      <c r="B6" s="99"/>
      <c r="C6" s="101"/>
      <c r="D6" s="101"/>
      <c r="E6" s="101"/>
      <c r="F6" s="101"/>
      <c r="I6" s="29" t="str">
        <f t="shared" ref="I6:AJ6" si="1">LEFT(TEXT(I5,"ddd"),1)</f>
        <v>M</v>
      </c>
      <c r="J6" s="30" t="str">
        <f t="shared" si="1"/>
        <v>T</v>
      </c>
      <c r="K6" s="30" t="str">
        <f t="shared" si="1"/>
        <v>W</v>
      </c>
      <c r="L6" s="30" t="str">
        <f t="shared" si="1"/>
        <v>T</v>
      </c>
      <c r="M6" s="30" t="str">
        <f t="shared" si="1"/>
        <v>F</v>
      </c>
      <c r="N6" s="30" t="str">
        <f t="shared" si="1"/>
        <v>S</v>
      </c>
      <c r="O6" s="30" t="str">
        <f t="shared" si="1"/>
        <v>S</v>
      </c>
      <c r="P6" s="30" t="str">
        <f t="shared" si="1"/>
        <v>M</v>
      </c>
      <c r="Q6" s="30" t="str">
        <f t="shared" si="1"/>
        <v>T</v>
      </c>
      <c r="R6" s="30" t="str">
        <f t="shared" si="1"/>
        <v>W</v>
      </c>
      <c r="S6" s="30" t="str">
        <f t="shared" si="1"/>
        <v>T</v>
      </c>
      <c r="T6" s="30" t="str">
        <f t="shared" si="1"/>
        <v>F</v>
      </c>
      <c r="U6" s="30" t="str">
        <f t="shared" si="1"/>
        <v>S</v>
      </c>
      <c r="V6" s="30" t="str">
        <f t="shared" si="1"/>
        <v>S</v>
      </c>
      <c r="W6" s="30" t="str">
        <f t="shared" si="1"/>
        <v>M</v>
      </c>
      <c r="X6" s="30" t="str">
        <f t="shared" si="1"/>
        <v>T</v>
      </c>
      <c r="Y6" s="30" t="str">
        <f t="shared" si="1"/>
        <v>W</v>
      </c>
      <c r="Z6" s="30" t="str">
        <f t="shared" si="1"/>
        <v>T</v>
      </c>
      <c r="AA6" s="30" t="str">
        <f t="shared" si="1"/>
        <v>F</v>
      </c>
      <c r="AB6" s="30" t="str">
        <f t="shared" si="1"/>
        <v>S</v>
      </c>
      <c r="AC6" s="30" t="str">
        <f t="shared" si="1"/>
        <v>S</v>
      </c>
      <c r="AD6" s="30" t="str">
        <f t="shared" si="1"/>
        <v>M</v>
      </c>
      <c r="AE6" s="30" t="str">
        <f t="shared" si="1"/>
        <v>T</v>
      </c>
      <c r="AF6" s="30" t="str">
        <f t="shared" si="1"/>
        <v>W</v>
      </c>
      <c r="AG6" s="30" t="str">
        <f t="shared" si="1"/>
        <v>T</v>
      </c>
      <c r="AH6" s="30" t="str">
        <f t="shared" si="1"/>
        <v>F</v>
      </c>
      <c r="AI6" s="30" t="str">
        <f t="shared" si="1"/>
        <v>S</v>
      </c>
      <c r="AJ6" s="30" t="str">
        <f t="shared" si="1"/>
        <v>S</v>
      </c>
    </row>
    <row r="7" spans="1:42" s="21" customFormat="1" ht="30" hidden="1" customHeight="1" thickBot="1" x14ac:dyDescent="0.3">
      <c r="A7" s="10" t="s">
        <v>18</v>
      </c>
      <c r="B7" s="31"/>
      <c r="C7" s="32"/>
      <c r="D7" s="31"/>
      <c r="E7" s="31"/>
      <c r="F7" s="31"/>
      <c r="H7" s="21"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row>
    <row r="8" spans="1:42" s="40" customFormat="1" ht="30" customHeight="1" thickBot="1" x14ac:dyDescent="0.3">
      <c r="A8" s="11"/>
      <c r="B8" s="34" t="s">
        <v>26</v>
      </c>
      <c r="C8" s="35"/>
      <c r="D8" s="36"/>
      <c r="E8" s="37"/>
      <c r="F8" s="38"/>
      <c r="G8" s="12"/>
      <c r="H8" s="3" t="str">
        <f t="shared" ref="H8:H48" si="2">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row>
    <row r="9" spans="1:42" s="40" customFormat="1" ht="30" customHeight="1" thickBot="1" x14ac:dyDescent="0.3">
      <c r="A9" s="11"/>
      <c r="B9" s="41" t="s">
        <v>33</v>
      </c>
      <c r="C9" s="42" t="s">
        <v>23</v>
      </c>
      <c r="D9" s="43">
        <v>1</v>
      </c>
      <c r="E9" s="44">
        <v>46063</v>
      </c>
      <c r="F9" s="44">
        <v>46067</v>
      </c>
      <c r="G9" s="12"/>
      <c r="H9" s="3">
        <f t="shared" si="2"/>
        <v>5</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row>
    <row r="10" spans="1:42" s="40" customFormat="1" ht="30" customHeight="1" thickBot="1" x14ac:dyDescent="0.3">
      <c r="A10" s="11"/>
      <c r="B10" s="46" t="s">
        <v>34</v>
      </c>
      <c r="C10" s="47" t="s">
        <v>25</v>
      </c>
      <c r="D10" s="48">
        <v>1</v>
      </c>
      <c r="E10" s="49">
        <v>46067</v>
      </c>
      <c r="F10" s="49">
        <v>46071</v>
      </c>
      <c r="G10" s="12"/>
      <c r="H10" s="3">
        <f t="shared" si="2"/>
        <v>5</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row>
    <row r="11" spans="1:42" s="40" customFormat="1" ht="30" customHeight="1" thickBot="1" x14ac:dyDescent="0.3">
      <c r="A11" s="11"/>
      <c r="B11" s="46" t="s">
        <v>35</v>
      </c>
      <c r="C11" s="47" t="s">
        <v>22</v>
      </c>
      <c r="D11" s="48">
        <v>1</v>
      </c>
      <c r="E11" s="44">
        <v>46073</v>
      </c>
      <c r="F11" s="49">
        <v>46073</v>
      </c>
      <c r="G11" s="12"/>
      <c r="H11" s="3"/>
      <c r="I11" s="45"/>
      <c r="J11" s="45"/>
      <c r="K11" s="45"/>
      <c r="L11" s="45"/>
      <c r="M11" s="45"/>
      <c r="N11" s="45"/>
      <c r="O11" s="45"/>
      <c r="P11" s="45"/>
      <c r="Q11" s="45"/>
      <c r="R11" s="45"/>
      <c r="S11" s="45"/>
      <c r="T11" s="45"/>
      <c r="U11" s="50"/>
      <c r="V11" s="50"/>
      <c r="W11" s="45"/>
      <c r="X11" s="45"/>
      <c r="Y11" s="45"/>
      <c r="Z11" s="45"/>
      <c r="AA11" s="45"/>
      <c r="AB11" s="45"/>
      <c r="AC11" s="45"/>
      <c r="AD11" s="45"/>
      <c r="AE11" s="45"/>
      <c r="AF11" s="45"/>
      <c r="AG11" s="45"/>
      <c r="AH11" s="45"/>
      <c r="AI11" s="45"/>
      <c r="AJ11" s="45"/>
    </row>
    <row r="12" spans="1:42" s="40" customFormat="1" ht="30" customHeight="1" thickBot="1" x14ac:dyDescent="0.3">
      <c r="A12" s="11"/>
      <c r="B12" s="46" t="s">
        <v>60</v>
      </c>
      <c r="C12" s="47" t="s">
        <v>40</v>
      </c>
      <c r="D12" s="48">
        <v>1</v>
      </c>
      <c r="E12" s="44">
        <v>46073</v>
      </c>
      <c r="F12" s="49">
        <v>46075</v>
      </c>
      <c r="G12" s="12"/>
      <c r="H12" s="3"/>
      <c r="I12" s="45"/>
      <c r="J12" s="45"/>
      <c r="K12" s="45"/>
      <c r="L12" s="45"/>
      <c r="M12" s="45"/>
      <c r="N12" s="45"/>
      <c r="O12" s="45"/>
      <c r="P12" s="45"/>
      <c r="Q12" s="45"/>
      <c r="R12" s="45"/>
      <c r="S12" s="45"/>
      <c r="T12" s="45"/>
      <c r="U12" s="50"/>
      <c r="V12" s="50"/>
      <c r="W12" s="45"/>
      <c r="X12" s="45"/>
      <c r="Y12" s="45"/>
      <c r="Z12" s="45"/>
      <c r="AA12" s="45"/>
      <c r="AB12" s="45"/>
      <c r="AC12" s="45"/>
      <c r="AD12" s="45"/>
      <c r="AE12" s="45"/>
      <c r="AF12" s="45"/>
      <c r="AG12" s="45"/>
      <c r="AH12" s="45"/>
      <c r="AI12" s="45"/>
      <c r="AJ12" s="45"/>
    </row>
    <row r="13" spans="1:42" s="40" customFormat="1" ht="30" customHeight="1" thickBot="1" x14ac:dyDescent="0.3">
      <c r="A13" s="10"/>
      <c r="B13" s="46" t="s">
        <v>63</v>
      </c>
      <c r="C13" s="47" t="s">
        <v>23</v>
      </c>
      <c r="D13" s="48">
        <v>1</v>
      </c>
      <c r="E13" s="49">
        <v>46076</v>
      </c>
      <c r="F13" s="49">
        <v>46076</v>
      </c>
      <c r="G13" s="12"/>
      <c r="H13" s="3">
        <f t="shared" si="2"/>
        <v>1</v>
      </c>
      <c r="I13" s="45"/>
      <c r="J13" s="45"/>
      <c r="K13" s="45"/>
      <c r="L13" s="45"/>
      <c r="M13" s="45"/>
      <c r="N13" s="45"/>
      <c r="O13" s="45"/>
      <c r="P13" s="45"/>
      <c r="Q13" s="45"/>
      <c r="R13" s="45"/>
      <c r="S13" s="45"/>
      <c r="T13" s="45"/>
      <c r="U13" s="45"/>
      <c r="V13" s="45"/>
      <c r="W13" s="45"/>
      <c r="X13" s="45"/>
      <c r="Y13" s="50"/>
      <c r="Z13" s="45"/>
      <c r="AA13" s="45"/>
      <c r="AB13" s="45"/>
      <c r="AC13" s="45"/>
      <c r="AD13" s="45"/>
      <c r="AE13" s="45"/>
      <c r="AF13" s="45"/>
      <c r="AG13" s="45"/>
      <c r="AH13" s="45"/>
      <c r="AI13" s="45"/>
      <c r="AJ13" s="45"/>
    </row>
    <row r="14" spans="1:42" s="40" customFormat="1" ht="30" customHeight="1" thickBot="1" x14ac:dyDescent="0.3">
      <c r="A14" s="11"/>
      <c r="B14" s="51" t="s">
        <v>27</v>
      </c>
      <c r="C14" s="52"/>
      <c r="D14" s="53"/>
      <c r="E14" s="54"/>
      <c r="F14" s="55"/>
      <c r="G14" s="12"/>
      <c r="H14" s="3" t="str">
        <f t="shared" si="2"/>
        <v/>
      </c>
    </row>
    <row r="15" spans="1:42" s="40" customFormat="1" ht="30" customHeight="1" thickBot="1" x14ac:dyDescent="0.3">
      <c r="A15" s="11"/>
      <c r="B15" s="56" t="s">
        <v>36</v>
      </c>
      <c r="C15" s="57" t="s">
        <v>40</v>
      </c>
      <c r="D15" s="58">
        <v>1</v>
      </c>
      <c r="E15" s="59">
        <v>46059</v>
      </c>
      <c r="F15" s="59">
        <v>46067</v>
      </c>
      <c r="G15" s="12"/>
      <c r="H15" s="3">
        <f t="shared" si="2"/>
        <v>9</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row>
    <row r="16" spans="1:42" s="40" customFormat="1" ht="30" customHeight="1" thickBot="1" x14ac:dyDescent="0.3">
      <c r="A16" s="10"/>
      <c r="B16" s="56" t="s">
        <v>37</v>
      </c>
      <c r="C16" s="57" t="s">
        <v>24</v>
      </c>
      <c r="D16" s="58">
        <v>1</v>
      </c>
      <c r="E16" s="59">
        <v>46067</v>
      </c>
      <c r="F16" s="59">
        <v>46067</v>
      </c>
      <c r="G16" s="12"/>
      <c r="H16" s="3">
        <f t="shared" si="2"/>
        <v>1</v>
      </c>
      <c r="I16" s="45"/>
      <c r="J16" s="45"/>
      <c r="K16" s="45"/>
      <c r="L16" s="45"/>
      <c r="M16" s="45"/>
      <c r="N16" s="45"/>
      <c r="O16" s="45"/>
      <c r="P16" s="45"/>
      <c r="Q16" s="45"/>
      <c r="R16" s="45"/>
      <c r="S16" s="45"/>
      <c r="T16" s="45"/>
      <c r="U16" s="50"/>
      <c r="V16" s="50"/>
      <c r="W16" s="45"/>
      <c r="X16" s="45"/>
      <c r="Y16" s="45"/>
      <c r="Z16" s="45"/>
      <c r="AA16" s="45"/>
      <c r="AB16" s="45"/>
      <c r="AC16" s="45"/>
      <c r="AD16" s="45"/>
      <c r="AE16" s="45"/>
      <c r="AF16" s="45"/>
      <c r="AG16" s="45"/>
      <c r="AH16" s="45"/>
      <c r="AI16" s="45"/>
      <c r="AJ16" s="45"/>
    </row>
    <row r="17" spans="1:36" s="40" customFormat="1" ht="30" customHeight="1" thickBot="1" x14ac:dyDescent="0.3">
      <c r="A17" s="10"/>
      <c r="B17" s="56" t="s">
        <v>38</v>
      </c>
      <c r="C17" s="57" t="s">
        <v>41</v>
      </c>
      <c r="D17" s="58">
        <v>1</v>
      </c>
      <c r="E17" s="59">
        <v>46067</v>
      </c>
      <c r="F17" s="59">
        <v>46072</v>
      </c>
      <c r="G17" s="12"/>
      <c r="H17" s="3">
        <f t="shared" si="2"/>
        <v>6</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row>
    <row r="18" spans="1:36" s="40" customFormat="1" ht="30" customHeight="1" thickBot="1" x14ac:dyDescent="0.3">
      <c r="A18" s="10"/>
      <c r="B18" s="56" t="s">
        <v>39</v>
      </c>
      <c r="C18" s="57" t="s">
        <v>42</v>
      </c>
      <c r="D18" s="58">
        <v>1</v>
      </c>
      <c r="E18" s="59">
        <v>46067</v>
      </c>
      <c r="F18" s="59">
        <v>46072</v>
      </c>
      <c r="G18" s="12"/>
      <c r="H18" s="3">
        <f t="shared" si="2"/>
        <v>6</v>
      </c>
      <c r="I18" s="45"/>
      <c r="J18" s="45"/>
      <c r="K18" s="45"/>
      <c r="L18" s="45"/>
      <c r="M18" s="45"/>
      <c r="N18" s="45"/>
      <c r="O18" s="45"/>
      <c r="P18" s="45"/>
      <c r="Q18" s="45"/>
      <c r="R18" s="45"/>
      <c r="S18" s="45"/>
      <c r="T18" s="45"/>
      <c r="U18" s="45"/>
      <c r="V18" s="45"/>
      <c r="W18" s="45"/>
      <c r="X18" s="45"/>
      <c r="Y18" s="50"/>
      <c r="Z18" s="45"/>
      <c r="AA18" s="45"/>
      <c r="AB18" s="45"/>
      <c r="AC18" s="45"/>
      <c r="AD18" s="45"/>
      <c r="AE18" s="45"/>
      <c r="AF18" s="45"/>
      <c r="AG18" s="45"/>
      <c r="AH18" s="45"/>
      <c r="AI18" s="45"/>
      <c r="AJ18" s="45"/>
    </row>
    <row r="19" spans="1:36" s="40" customFormat="1" ht="30" customHeight="1" thickBot="1" x14ac:dyDescent="0.3">
      <c r="A19" s="10"/>
      <c r="B19" s="56" t="s">
        <v>46</v>
      </c>
      <c r="C19" s="57" t="s">
        <v>40</v>
      </c>
      <c r="D19" s="58">
        <v>1</v>
      </c>
      <c r="E19" s="59">
        <v>46072</v>
      </c>
      <c r="F19" s="59">
        <v>46073</v>
      </c>
      <c r="G19" s="12"/>
      <c r="H19" s="3"/>
      <c r="I19" s="45"/>
      <c r="J19" s="45"/>
      <c r="K19" s="45"/>
      <c r="L19" s="45"/>
      <c r="M19" s="45"/>
      <c r="N19" s="45"/>
      <c r="O19" s="45"/>
      <c r="P19" s="45"/>
      <c r="Q19" s="45"/>
      <c r="R19" s="45"/>
      <c r="S19" s="45"/>
      <c r="T19" s="45"/>
      <c r="U19" s="45"/>
      <c r="V19" s="45"/>
      <c r="W19" s="45"/>
      <c r="X19" s="45"/>
      <c r="Y19" s="50"/>
      <c r="Z19" s="45"/>
      <c r="AA19" s="45"/>
      <c r="AB19" s="45"/>
      <c r="AC19" s="45"/>
      <c r="AD19" s="45"/>
      <c r="AE19" s="45"/>
      <c r="AF19" s="45"/>
      <c r="AG19" s="45"/>
      <c r="AH19" s="45"/>
      <c r="AI19" s="45"/>
      <c r="AJ19" s="45"/>
    </row>
    <row r="20" spans="1:36" s="40" customFormat="1" ht="30" customHeight="1" thickBot="1" x14ac:dyDescent="0.3">
      <c r="A20" s="10"/>
      <c r="B20" s="56" t="s">
        <v>63</v>
      </c>
      <c r="C20" s="57" t="s">
        <v>23</v>
      </c>
      <c r="D20" s="58">
        <v>1</v>
      </c>
      <c r="E20" s="59">
        <v>46073</v>
      </c>
      <c r="F20" s="59">
        <v>46074</v>
      </c>
      <c r="G20" s="12"/>
      <c r="H20" s="3">
        <f t="shared" si="2"/>
        <v>2</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row>
    <row r="21" spans="1:36" s="40" customFormat="1" ht="30" customHeight="1" thickBot="1" x14ac:dyDescent="0.3">
      <c r="A21" s="10"/>
      <c r="B21" s="60" t="s">
        <v>28</v>
      </c>
      <c r="C21" s="61"/>
      <c r="D21" s="62"/>
      <c r="E21" s="63"/>
      <c r="F21" s="64"/>
      <c r="G21" s="12"/>
      <c r="H21" s="3" t="str">
        <f t="shared" si="2"/>
        <v/>
      </c>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row>
    <row r="22" spans="1:36" s="40" customFormat="1" ht="30" customHeight="1" thickBot="1" x14ac:dyDescent="0.3">
      <c r="A22" s="10"/>
      <c r="B22" s="66" t="s">
        <v>43</v>
      </c>
      <c r="C22" s="67" t="s">
        <v>40</v>
      </c>
      <c r="D22" s="68">
        <v>1</v>
      </c>
      <c r="E22" s="69">
        <v>46059</v>
      </c>
      <c r="F22" s="69">
        <v>46061</v>
      </c>
      <c r="G22" s="12"/>
      <c r="H22" s="3">
        <f t="shared" si="2"/>
        <v>3</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row>
    <row r="23" spans="1:36" s="40" customFormat="1" ht="30" customHeight="1" thickBot="1" x14ac:dyDescent="0.3">
      <c r="A23" s="10"/>
      <c r="B23" s="66" t="s">
        <v>44</v>
      </c>
      <c r="C23" s="67" t="s">
        <v>45</v>
      </c>
      <c r="D23" s="68">
        <v>1</v>
      </c>
      <c r="E23" s="69">
        <v>46063</v>
      </c>
      <c r="F23" s="69">
        <v>46065</v>
      </c>
      <c r="G23" s="12"/>
      <c r="H23" s="3">
        <f t="shared" si="2"/>
        <v>3</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row>
    <row r="24" spans="1:36" s="40" customFormat="1" ht="30" customHeight="1" thickBot="1" x14ac:dyDescent="0.3">
      <c r="A24" s="10"/>
      <c r="B24" s="66" t="s">
        <v>46</v>
      </c>
      <c r="C24" s="67" t="s">
        <v>47</v>
      </c>
      <c r="D24" s="68">
        <v>1</v>
      </c>
      <c r="E24" s="69">
        <v>46065</v>
      </c>
      <c r="F24" s="69">
        <v>46066</v>
      </c>
      <c r="G24" s="12"/>
      <c r="H24" s="3">
        <f t="shared" si="2"/>
        <v>2</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row>
    <row r="25" spans="1:36" s="40" customFormat="1" ht="30" customHeight="1" thickBot="1" x14ac:dyDescent="0.3">
      <c r="A25" s="10"/>
      <c r="B25" s="66" t="s">
        <v>63</v>
      </c>
      <c r="C25" s="67" t="s">
        <v>45</v>
      </c>
      <c r="D25" s="68">
        <v>1</v>
      </c>
      <c r="E25" s="69">
        <v>46066</v>
      </c>
      <c r="F25" s="69">
        <v>46066</v>
      </c>
      <c r="G25" s="12"/>
      <c r="H25" s="3">
        <f t="shared" si="2"/>
        <v>1</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row>
    <row r="26" spans="1:36" s="40" customFormat="1" ht="30" customHeight="1" thickBot="1" x14ac:dyDescent="0.3">
      <c r="A26" s="10"/>
      <c r="B26" s="70" t="s">
        <v>29</v>
      </c>
      <c r="C26" s="71"/>
      <c r="D26" s="72"/>
      <c r="E26" s="73"/>
      <c r="F26" s="74"/>
      <c r="G26" s="12"/>
      <c r="H26" s="3" t="str">
        <f t="shared" si="2"/>
        <v/>
      </c>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spans="1:36" s="40" customFormat="1" ht="30" customHeight="1" thickBot="1" x14ac:dyDescent="0.3">
      <c r="A27" s="10"/>
      <c r="B27" s="76" t="s">
        <v>48</v>
      </c>
      <c r="C27" s="77" t="s">
        <v>45</v>
      </c>
      <c r="D27" s="78">
        <v>1</v>
      </c>
      <c r="E27" s="79">
        <v>46061</v>
      </c>
      <c r="F27" s="79">
        <v>46065</v>
      </c>
      <c r="G27" s="12"/>
      <c r="H27" s="3">
        <f t="shared" si="2"/>
        <v>5</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row>
    <row r="28" spans="1:36" s="40" customFormat="1" ht="30" customHeight="1" thickBot="1" x14ac:dyDescent="0.3">
      <c r="A28" s="10"/>
      <c r="B28" s="76" t="s">
        <v>49</v>
      </c>
      <c r="C28" s="77" t="s">
        <v>25</v>
      </c>
      <c r="D28" s="78">
        <v>1</v>
      </c>
      <c r="E28" s="79">
        <v>46068</v>
      </c>
      <c r="F28" s="79">
        <v>46070</v>
      </c>
      <c r="G28" s="12"/>
      <c r="H28" s="3">
        <f t="shared" si="2"/>
        <v>3</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row>
    <row r="29" spans="1:36" s="40" customFormat="1" ht="30" customHeight="1" thickBot="1" x14ac:dyDescent="0.3">
      <c r="A29" s="10"/>
      <c r="B29" s="76" t="s">
        <v>50</v>
      </c>
      <c r="C29" s="77" t="s">
        <v>24</v>
      </c>
      <c r="D29" s="78">
        <v>1</v>
      </c>
      <c r="E29" s="79">
        <v>46065</v>
      </c>
      <c r="F29" s="79">
        <v>46068</v>
      </c>
      <c r="G29" s="12"/>
      <c r="H29" s="3">
        <f t="shared" si="2"/>
        <v>4</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row>
    <row r="30" spans="1:36" s="40" customFormat="1" ht="30" customHeight="1" thickBot="1" x14ac:dyDescent="0.3">
      <c r="A30" s="10"/>
      <c r="B30" s="76" t="s">
        <v>51</v>
      </c>
      <c r="C30" s="77" t="s">
        <v>53</v>
      </c>
      <c r="D30" s="78">
        <v>1</v>
      </c>
      <c r="E30" s="79">
        <v>46070</v>
      </c>
      <c r="F30" s="79">
        <v>46072</v>
      </c>
      <c r="G30" s="12"/>
      <c r="H30" s="3">
        <f t="shared" si="2"/>
        <v>3</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row>
    <row r="31" spans="1:36" s="40" customFormat="1" ht="30" customHeight="1" thickBot="1" x14ac:dyDescent="0.3">
      <c r="A31" s="10"/>
      <c r="B31" s="76" t="s">
        <v>52</v>
      </c>
      <c r="C31" s="77" t="s">
        <v>40</v>
      </c>
      <c r="D31" s="78">
        <v>1</v>
      </c>
      <c r="E31" s="79">
        <v>46071</v>
      </c>
      <c r="F31" s="79">
        <v>46074</v>
      </c>
      <c r="G31" s="12"/>
      <c r="H31" s="3">
        <f t="shared" si="2"/>
        <v>4</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row>
    <row r="32" spans="1:36" s="40" customFormat="1" ht="30" customHeight="1" thickBot="1" x14ac:dyDescent="0.3">
      <c r="A32" s="10"/>
      <c r="B32" s="34" t="s">
        <v>30</v>
      </c>
      <c r="C32" s="35"/>
      <c r="D32" s="36"/>
      <c r="E32" s="37"/>
      <c r="F32" s="38"/>
      <c r="G32" s="12"/>
      <c r="H32" s="3" t="str">
        <f t="shared" si="2"/>
        <v/>
      </c>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row>
    <row r="33" spans="1:36" s="40" customFormat="1" ht="30" customHeight="1" thickBot="1" x14ac:dyDescent="0.3">
      <c r="A33" s="11"/>
      <c r="B33" s="41" t="s">
        <v>54</v>
      </c>
      <c r="C33" s="42" t="s">
        <v>24</v>
      </c>
      <c r="D33" s="43">
        <v>1</v>
      </c>
      <c r="E33" s="44">
        <v>46068</v>
      </c>
      <c r="F33" s="44">
        <v>46073</v>
      </c>
      <c r="G33" s="12"/>
      <c r="H33" s="3">
        <f t="shared" si="2"/>
        <v>6</v>
      </c>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row>
    <row r="34" spans="1:36" ht="30" customHeight="1" thickBot="1" x14ac:dyDescent="0.3">
      <c r="B34" s="41" t="s">
        <v>55</v>
      </c>
      <c r="C34" s="47" t="s">
        <v>25</v>
      </c>
      <c r="D34" s="48">
        <v>1</v>
      </c>
      <c r="E34" s="49">
        <v>46068</v>
      </c>
      <c r="F34" s="49">
        <v>46073</v>
      </c>
      <c r="G34" s="12"/>
      <c r="H34" s="3">
        <f t="shared" si="2"/>
        <v>6</v>
      </c>
      <c r="I34" s="45"/>
      <c r="J34" s="45"/>
      <c r="K34" s="45"/>
      <c r="L34" s="45"/>
      <c r="M34" s="45"/>
      <c r="N34" s="45"/>
      <c r="O34" s="45"/>
      <c r="P34" s="45"/>
      <c r="Q34" s="45"/>
      <c r="R34" s="45"/>
      <c r="S34" s="45"/>
      <c r="T34" s="45"/>
      <c r="U34" s="50"/>
      <c r="V34" s="50"/>
      <c r="W34" s="45"/>
      <c r="X34" s="45"/>
      <c r="Y34" s="45"/>
      <c r="Z34" s="45"/>
      <c r="AA34" s="45"/>
      <c r="AB34" s="45"/>
      <c r="AC34" s="45"/>
      <c r="AD34" s="45"/>
      <c r="AE34" s="45"/>
      <c r="AF34" s="45"/>
      <c r="AG34" s="45"/>
      <c r="AH34" s="45"/>
      <c r="AI34" s="45"/>
      <c r="AJ34" s="45"/>
    </row>
    <row r="35" spans="1:36" ht="30" customHeight="1" thickBot="1" x14ac:dyDescent="0.3">
      <c r="B35" s="41" t="s">
        <v>56</v>
      </c>
      <c r="C35" s="47" t="s">
        <v>53</v>
      </c>
      <c r="D35" s="48">
        <v>1</v>
      </c>
      <c r="E35" s="44">
        <v>46068</v>
      </c>
      <c r="F35" s="44">
        <v>46073</v>
      </c>
      <c r="G35" s="12"/>
      <c r="H35" s="3">
        <f t="shared" si="2"/>
        <v>6</v>
      </c>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row>
    <row r="36" spans="1:36" ht="30" customHeight="1" thickBot="1" x14ac:dyDescent="0.3">
      <c r="B36" s="46" t="s">
        <v>46</v>
      </c>
      <c r="C36" s="47" t="s">
        <v>40</v>
      </c>
      <c r="D36" s="48">
        <v>1</v>
      </c>
      <c r="E36" s="49">
        <v>46074</v>
      </c>
      <c r="F36" s="49">
        <v>46075</v>
      </c>
      <c r="G36" s="12"/>
      <c r="H36" s="3">
        <f t="shared" si="2"/>
        <v>2</v>
      </c>
      <c r="I36" s="45"/>
      <c r="J36" s="45"/>
      <c r="K36" s="45"/>
      <c r="L36" s="45"/>
      <c r="M36" s="45"/>
      <c r="N36" s="45"/>
      <c r="O36" s="45"/>
      <c r="P36" s="45"/>
      <c r="Q36" s="45"/>
      <c r="R36" s="45"/>
      <c r="S36" s="45"/>
      <c r="T36" s="45"/>
      <c r="U36" s="45"/>
      <c r="V36" s="45"/>
      <c r="W36" s="45"/>
      <c r="X36" s="45"/>
      <c r="Y36" s="50"/>
      <c r="Z36" s="45"/>
      <c r="AA36" s="45"/>
      <c r="AB36" s="45"/>
      <c r="AC36" s="45"/>
      <c r="AD36" s="45"/>
      <c r="AE36" s="45"/>
      <c r="AF36" s="45"/>
      <c r="AG36" s="45"/>
      <c r="AH36" s="45"/>
      <c r="AI36" s="45"/>
      <c r="AJ36" s="45"/>
    </row>
    <row r="37" spans="1:36" ht="30" customHeight="1" thickBot="1" x14ac:dyDescent="0.3">
      <c r="B37" s="46" t="s">
        <v>63</v>
      </c>
      <c r="C37" s="47" t="s">
        <v>45</v>
      </c>
      <c r="D37" s="48">
        <v>1</v>
      </c>
      <c r="E37" s="49">
        <v>46075</v>
      </c>
      <c r="F37" s="49">
        <v>46075</v>
      </c>
      <c r="G37" s="12"/>
      <c r="H37" s="3">
        <f t="shared" si="2"/>
        <v>1</v>
      </c>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row>
    <row r="38" spans="1:36" ht="30" customHeight="1" thickBot="1" x14ac:dyDescent="0.3">
      <c r="B38" s="51" t="s">
        <v>31</v>
      </c>
      <c r="C38" s="52"/>
      <c r="D38" s="53"/>
      <c r="E38" s="54"/>
      <c r="F38" s="55"/>
      <c r="G38" s="12"/>
      <c r="H38" s="3" t="str">
        <f t="shared" si="2"/>
        <v/>
      </c>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row>
    <row r="39" spans="1:36" ht="30" customHeight="1" thickBot="1" x14ac:dyDescent="0.3">
      <c r="B39" s="56" t="s">
        <v>54</v>
      </c>
      <c r="C39" s="57" t="s">
        <v>57</v>
      </c>
      <c r="D39" s="58">
        <v>1</v>
      </c>
      <c r="E39" s="59">
        <v>46068</v>
      </c>
      <c r="F39" s="59">
        <v>46073</v>
      </c>
      <c r="G39" s="12"/>
      <c r="H39" s="3">
        <f t="shared" si="2"/>
        <v>6</v>
      </c>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row>
    <row r="40" spans="1:36" ht="30" customHeight="1" thickBot="1" x14ac:dyDescent="0.3">
      <c r="B40" s="56" t="s">
        <v>55</v>
      </c>
      <c r="C40" s="57" t="s">
        <v>25</v>
      </c>
      <c r="D40" s="58">
        <v>1</v>
      </c>
      <c r="E40" s="59">
        <v>46068</v>
      </c>
      <c r="F40" s="59">
        <v>46073</v>
      </c>
      <c r="G40" s="12"/>
      <c r="H40" s="3">
        <f t="shared" si="2"/>
        <v>6</v>
      </c>
      <c r="I40" s="45"/>
      <c r="J40" s="45"/>
      <c r="K40" s="45"/>
      <c r="L40" s="45"/>
      <c r="M40" s="45"/>
      <c r="N40" s="45"/>
      <c r="O40" s="45"/>
      <c r="P40" s="45"/>
      <c r="Q40" s="45"/>
      <c r="R40" s="45"/>
      <c r="S40" s="45"/>
      <c r="T40" s="45"/>
      <c r="U40" s="50"/>
      <c r="V40" s="50"/>
      <c r="W40" s="45"/>
      <c r="X40" s="45"/>
      <c r="Y40" s="45"/>
      <c r="Z40" s="45"/>
      <c r="AA40" s="45"/>
      <c r="AB40" s="45"/>
      <c r="AC40" s="45"/>
      <c r="AD40" s="45"/>
      <c r="AE40" s="45"/>
      <c r="AF40" s="45"/>
      <c r="AG40" s="45"/>
      <c r="AH40" s="45"/>
      <c r="AI40" s="45"/>
      <c r="AJ40" s="45"/>
    </row>
    <row r="41" spans="1:36" ht="30" customHeight="1" thickBot="1" x14ac:dyDescent="0.3">
      <c r="B41" s="56" t="s">
        <v>56</v>
      </c>
      <c r="C41" s="57" t="s">
        <v>53</v>
      </c>
      <c r="D41" s="58">
        <v>1</v>
      </c>
      <c r="E41" s="59">
        <v>46068</v>
      </c>
      <c r="F41" s="59">
        <v>46073</v>
      </c>
      <c r="G41" s="12"/>
      <c r="H41" s="3">
        <f t="shared" si="2"/>
        <v>6</v>
      </c>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row>
    <row r="42" spans="1:36" ht="30" customHeight="1" thickBot="1" x14ac:dyDescent="0.3">
      <c r="B42" s="56" t="s">
        <v>46</v>
      </c>
      <c r="C42" s="57" t="s">
        <v>40</v>
      </c>
      <c r="D42" s="58">
        <v>1</v>
      </c>
      <c r="E42" s="59">
        <v>46074</v>
      </c>
      <c r="F42" s="59">
        <v>46075</v>
      </c>
      <c r="G42" s="12"/>
      <c r="H42" s="3">
        <f t="shared" si="2"/>
        <v>2</v>
      </c>
      <c r="I42" s="45"/>
      <c r="J42" s="45"/>
      <c r="K42" s="45"/>
      <c r="L42" s="45"/>
      <c r="M42" s="45"/>
      <c r="N42" s="45"/>
      <c r="O42" s="45"/>
      <c r="P42" s="45"/>
      <c r="Q42" s="45"/>
      <c r="R42" s="45"/>
      <c r="S42" s="45"/>
      <c r="T42" s="45"/>
      <c r="U42" s="45"/>
      <c r="V42" s="45"/>
      <c r="W42" s="45"/>
      <c r="X42" s="45"/>
      <c r="Y42" s="50"/>
      <c r="Z42" s="45"/>
      <c r="AA42" s="45"/>
      <c r="AB42" s="45"/>
      <c r="AC42" s="45"/>
      <c r="AD42" s="45"/>
      <c r="AE42" s="45"/>
      <c r="AF42" s="45"/>
      <c r="AG42" s="45"/>
      <c r="AH42" s="45"/>
      <c r="AI42" s="45"/>
      <c r="AJ42" s="45"/>
    </row>
    <row r="43" spans="1:36" ht="30" customHeight="1" thickBot="1" x14ac:dyDescent="0.3">
      <c r="B43" s="56" t="s">
        <v>63</v>
      </c>
      <c r="C43" s="57" t="s">
        <v>45</v>
      </c>
      <c r="D43" s="58">
        <v>1</v>
      </c>
      <c r="E43" s="59">
        <v>46075</v>
      </c>
      <c r="F43" s="59">
        <v>46075</v>
      </c>
      <c r="G43" s="12"/>
      <c r="H43" s="3">
        <f t="shared" si="2"/>
        <v>1</v>
      </c>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row>
    <row r="44" spans="1:36" ht="30" customHeight="1" thickBot="1" x14ac:dyDescent="0.3">
      <c r="B44" s="60" t="s">
        <v>32</v>
      </c>
      <c r="C44" s="61"/>
      <c r="D44" s="62"/>
      <c r="E44" s="63"/>
      <c r="F44" s="64"/>
      <c r="G44" s="12"/>
      <c r="H44" s="3" t="str">
        <f t="shared" si="2"/>
        <v/>
      </c>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row>
    <row r="45" spans="1:36" ht="30" customHeight="1" thickBot="1" x14ac:dyDescent="0.3">
      <c r="B45" s="66" t="s">
        <v>58</v>
      </c>
      <c r="C45" s="67" t="s">
        <v>40</v>
      </c>
      <c r="D45" s="68">
        <v>1</v>
      </c>
      <c r="E45" s="69">
        <v>46064</v>
      </c>
      <c r="F45" s="69">
        <v>46067</v>
      </c>
      <c r="G45" s="12"/>
      <c r="H45" s="3">
        <f t="shared" si="2"/>
        <v>4</v>
      </c>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row>
    <row r="46" spans="1:36" ht="30" customHeight="1" thickBot="1" x14ac:dyDescent="0.3">
      <c r="B46" s="66" t="s">
        <v>59</v>
      </c>
      <c r="C46" s="67" t="s">
        <v>24</v>
      </c>
      <c r="D46" s="68">
        <v>1</v>
      </c>
      <c r="E46" s="69">
        <v>46069</v>
      </c>
      <c r="F46" s="69">
        <v>46072</v>
      </c>
      <c r="G46" s="12"/>
      <c r="H46" s="3">
        <f t="shared" si="2"/>
        <v>4</v>
      </c>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row>
    <row r="47" spans="1:36" ht="30" customHeight="1" thickBot="1" x14ac:dyDescent="0.3">
      <c r="B47" s="66" t="s">
        <v>46</v>
      </c>
      <c r="C47" s="67" t="s">
        <v>40</v>
      </c>
      <c r="D47" s="68">
        <v>1</v>
      </c>
      <c r="E47" s="69">
        <v>46073</v>
      </c>
      <c r="F47" s="69">
        <v>46075</v>
      </c>
      <c r="G47" s="12"/>
      <c r="H47" s="3">
        <f t="shared" si="2"/>
        <v>3</v>
      </c>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row>
    <row r="48" spans="1:36" ht="30" customHeight="1" thickBot="1" x14ac:dyDescent="0.3">
      <c r="B48" s="66" t="s">
        <v>63</v>
      </c>
      <c r="C48" s="67" t="s">
        <v>45</v>
      </c>
      <c r="D48" s="68">
        <v>1</v>
      </c>
      <c r="E48" s="69">
        <v>46075</v>
      </c>
      <c r="F48" s="69">
        <v>46075</v>
      </c>
      <c r="G48" s="12"/>
      <c r="H48" s="3">
        <f t="shared" si="2"/>
        <v>1</v>
      </c>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row>
  </sheetData>
  <mergeCells count="14">
    <mergeCell ref="AD4:AJ4"/>
    <mergeCell ref="F5:F6"/>
    <mergeCell ref="Q2:Z2"/>
    <mergeCell ref="Q1:Z1"/>
    <mergeCell ref="I1:O1"/>
    <mergeCell ref="I2:O2"/>
    <mergeCell ref="A5:A6"/>
    <mergeCell ref="B5:B6"/>
    <mergeCell ref="C5:C6"/>
    <mergeCell ref="D5:D6"/>
    <mergeCell ref="E5:E6"/>
    <mergeCell ref="I4:O4"/>
    <mergeCell ref="P4:V4"/>
    <mergeCell ref="W4:AC4"/>
  </mergeCells>
  <phoneticPr fontId="28" type="noConversion"/>
  <conditionalFormatting sqref="D7:D48">
    <cfRule type="dataBar" priority="3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AI48">
    <cfRule type="expression" dxfId="14" priority="10">
      <formula>AND(TODAY()&gt;=I$5, TODAY()&lt;J$5)</formula>
    </cfRule>
  </conditionalFormatting>
  <conditionalFormatting sqref="I9:AI13 I33:AI37">
    <cfRule type="expression" dxfId="13" priority="16" stopIfTrue="1">
      <formula>AND(task_end&gt;=I$5,task_start&lt;J$5)</formula>
    </cfRule>
  </conditionalFormatting>
  <conditionalFormatting sqref="I15:AI20 I39:AI43">
    <cfRule type="expression" dxfId="12" priority="14" stopIfTrue="1">
      <formula>AND(task_end&gt;=I$5,task_start&lt;J$5)</formula>
    </cfRule>
  </conditionalFormatting>
  <conditionalFormatting sqref="I22:AI25 I45:AI48">
    <cfRule type="expression" dxfId="11" priority="12" stopIfTrue="1">
      <formula>AND(task_end&gt;=I$5,task_start&lt;J$5)</formula>
    </cfRule>
  </conditionalFormatting>
  <conditionalFormatting sqref="I27:AI31">
    <cfRule type="expression" dxfId="10" priority="45">
      <formula>AND(task_start&lt;=I$5,ROUNDDOWN((task_end-task_start+1)*task_progress,0)+task_start-1&gt;=I$5)</formula>
    </cfRule>
    <cfRule type="expression" dxfId="9" priority="46" stopIfTrue="1">
      <formula>AND(task_end&gt;=I$5,task_start&lt;J$5)</formula>
    </cfRule>
  </conditionalFormatting>
  <conditionalFormatting sqref="I9:AJ13 I33:AJ37">
    <cfRule type="expression" dxfId="8" priority="15">
      <formula>AND(task_start&lt;=I$5,ROUNDDOWN((task_end-task_start+1)*task_progress,0)+task_start-1&gt;=I$5)</formula>
    </cfRule>
  </conditionalFormatting>
  <conditionalFormatting sqref="I15:AJ20 I39:AJ43">
    <cfRule type="expression" dxfId="7" priority="13">
      <formula>AND(task_start&lt;=I$5,ROUNDDOWN((task_end-task_start+1)*task_progress,0)+task_start-1&gt;=I$5)</formula>
    </cfRule>
  </conditionalFormatting>
  <conditionalFormatting sqref="I22:AJ25 I45:AJ48">
    <cfRule type="expression" dxfId="6" priority="11">
      <formula>AND(task_start&lt;=I$5,ROUNDDOWN((task_end-task_start+1)*task_progress,0)+task_start-1&gt;=I$5)</formula>
    </cfRule>
  </conditionalFormatting>
  <conditionalFormatting sqref="AJ4:AJ48">
    <cfRule type="expression" dxfId="5" priority="48">
      <formula>AND(TODAY()&gt;=AJ$5, TODAY()&lt;#REF!)</formula>
    </cfRule>
  </conditionalFormatting>
  <conditionalFormatting sqref="AJ9:AJ13 AJ33:AJ37">
    <cfRule type="expression" dxfId="4" priority="52" stopIfTrue="1">
      <formula>AND(task_end&gt;=AJ$5,task_start&lt;#REF!)</formula>
    </cfRule>
  </conditionalFormatting>
  <conditionalFormatting sqref="AJ15:AJ20 AJ39:AJ43">
    <cfRule type="expression" dxfId="3" priority="56" stopIfTrue="1">
      <formula>AND(task_end&gt;=AJ$5,task_start&lt;#REF!)</formula>
    </cfRule>
  </conditionalFormatting>
  <conditionalFormatting sqref="AJ22:AJ25 AJ45:AJ48">
    <cfRule type="expression" dxfId="2" priority="60" stopIfTrue="1">
      <formula>AND(task_end&gt;=AJ$5,task_start&lt;#REF!)</formula>
    </cfRule>
  </conditionalFormatting>
  <conditionalFormatting sqref="AJ27:AJ31">
    <cfRule type="expression" dxfId="1" priority="63">
      <formula>AND(task_start&lt;=AJ$5,ROUNDDOWN((task_end-task_start+1)*task_progress,0)+task_start-1&gt;=AJ$5)</formula>
    </cfRule>
    <cfRule type="expression" dxfId="0" priority="64" stopIfTrue="1">
      <formula>AND(task_end&gt;=AJ$5,task_start&lt;#REF!)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2" xr:uid="{872449A7-C3CC-45B6-BA90-B1AAD66BA0E5}"/>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4" customWidth="1"/>
    <col min="2" max="16384" width="9" style="1"/>
  </cols>
  <sheetData>
    <row r="1" spans="1:2" ht="46.5" customHeight="1" x14ac:dyDescent="0.25"/>
    <row r="2" spans="1:2" s="6" customFormat="1" ht="15.6" x14ac:dyDescent="0.25">
      <c r="A2" s="83" t="s">
        <v>7</v>
      </c>
      <c r="B2" s="5"/>
    </row>
    <row r="3" spans="1:2" s="8" customFormat="1" ht="27" customHeight="1" x14ac:dyDescent="0.25">
      <c r="A3" s="84"/>
      <c r="B3" s="9"/>
    </row>
    <row r="4" spans="1:2" s="7" customFormat="1" ht="30" x14ac:dyDescent="0.7">
      <c r="A4" s="85" t="s">
        <v>6</v>
      </c>
    </row>
    <row r="5" spans="1:2" ht="74.25" customHeight="1" x14ac:dyDescent="0.25">
      <c r="A5" s="86" t="s">
        <v>14</v>
      </c>
    </row>
    <row r="6" spans="1:2" ht="26.25" customHeight="1" x14ac:dyDescent="0.25">
      <c r="A6" s="85" t="s">
        <v>17</v>
      </c>
    </row>
    <row r="7" spans="1:2" s="4" customFormat="1" ht="205.05" customHeight="1" x14ac:dyDescent="0.25">
      <c r="A7" s="87" t="s">
        <v>16</v>
      </c>
    </row>
    <row r="8" spans="1:2" s="7" customFormat="1" ht="30" x14ac:dyDescent="0.7">
      <c r="A8" s="85" t="s">
        <v>8</v>
      </c>
    </row>
    <row r="9" spans="1:2" ht="41.4" x14ac:dyDescent="0.25">
      <c r="A9" s="86" t="s">
        <v>15</v>
      </c>
    </row>
    <row r="10" spans="1:2" s="4" customFormat="1" ht="28.05" customHeight="1" x14ac:dyDescent="0.25">
      <c r="A10" s="88" t="s">
        <v>13</v>
      </c>
    </row>
    <row r="11" spans="1:2" s="7" customFormat="1" ht="30" x14ac:dyDescent="0.7">
      <c r="A11" s="85" t="s">
        <v>5</v>
      </c>
    </row>
    <row r="12" spans="1:2" ht="27.6" x14ac:dyDescent="0.25">
      <c r="A12" s="86" t="s">
        <v>12</v>
      </c>
    </row>
    <row r="13" spans="1:2" s="4" customFormat="1" ht="28.05" customHeight="1" x14ac:dyDescent="0.25">
      <c r="A13" s="88" t="s">
        <v>1</v>
      </c>
    </row>
    <row r="14" spans="1:2" s="7" customFormat="1" ht="30" x14ac:dyDescent="0.7">
      <c r="A14" s="85" t="s">
        <v>9</v>
      </c>
    </row>
    <row r="15" spans="1:2" ht="75" customHeight="1" x14ac:dyDescent="0.25">
      <c r="A15" s="86" t="s">
        <v>10</v>
      </c>
    </row>
    <row r="16" spans="1:2" ht="69" x14ac:dyDescent="0.25">
      <c r="A16" s="86" t="s">
        <v>11</v>
      </c>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Ryder Anderson</dc:creator>
  <dc:description/>
  <cp:lastModifiedBy>Ryder Anderson</cp:lastModifiedBy>
  <dcterms:created xsi:type="dcterms:W3CDTF">2022-03-11T22:41:12Z</dcterms:created>
  <dcterms:modified xsi:type="dcterms:W3CDTF">2026-02-23T19:40:06Z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